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st_frequented_stations" sheetId="1" r:id="rId4"/>
    <sheet state="visible" name="avg_daily_trips_by_month" sheetId="2" r:id="rId5"/>
    <sheet state="visible" name="avg_trip_duration_by_month" sheetId="3" r:id="rId6"/>
    <sheet state="visible" name="avg_daily_trips_by_weekday" sheetId="4" r:id="rId7"/>
    <sheet state="visible" name="avg_trip_duration_by_weekday" sheetId="5" r:id="rId8"/>
  </sheets>
  <definedNames/>
  <calcPr/>
</workbook>
</file>

<file path=xl/sharedStrings.xml><?xml version="1.0" encoding="utf-8"?>
<sst xmlns="http://schemas.openxmlformats.org/spreadsheetml/2006/main" count="60" uniqueCount="39">
  <si>
    <t>station_name</t>
  </si>
  <si>
    <t>count_encountered</t>
  </si>
  <si>
    <t>DuSable Lake Shore Dr &amp; Monroe St</t>
  </si>
  <si>
    <t>Streeter Dr &amp; Grand Ave</t>
  </si>
  <si>
    <t>Navy Pier</t>
  </si>
  <si>
    <t>Michigan Ave &amp; Oak St</t>
  </si>
  <si>
    <t>DuSable Lake Shore Dr &amp; North Blvd</t>
  </si>
  <si>
    <t>Millennium Park</t>
  </si>
  <si>
    <t>Theater on the Lake</t>
  </si>
  <si>
    <t>Shedd Aquarium</t>
  </si>
  <si>
    <t>Dusable Harbor</t>
  </si>
  <si>
    <t>Michigan Ave &amp; 8th St</t>
  </si>
  <si>
    <t>ride_month</t>
  </si>
  <si>
    <t>count_rides</t>
  </si>
  <si>
    <t>num_days</t>
  </si>
  <si>
    <t>avg_daily_trips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</si>
  <si>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</si>
  <si>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</si>
  <si>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</si>
  <si>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</si>
  <si>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</si>
  <si>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</si>
  <si>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</si>
  <si>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</si>
  <si>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</si>
  <si>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</si>
  <si>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</si>
  <si>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</si>
  <si>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</si>
  <si>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avg_trip_duration_minutes</t>
  </si>
  <si>
    <t>weekday</t>
  </si>
  <si>
    <t>avg_num_trips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</si>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</sst>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Ten Most Frequented Stations by Casual Riders in the Past Year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most_frequented_stations!$B$1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most_frequented_stations!$A$2:$A$11</c:f>
            </c:strRef>
          </c:cat>
          <c:val>
            <c:numRef>
              <c:f>most_frequented_stations!$B$2:$B$11</c:f>
              <c:numCache/>
            </c:numRef>
          </c:val>
        </c:ser>
        <c:axId val="971949532"/>
        <c:axId val="1144069953"/>
      </c:barChart>
      <c:catAx>
        <c:axId val="971949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Station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4069953"/>
      </c:catAx>
      <c:valAx>
        <c:axId val="1144069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Visits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19495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Daily Casual Trips by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avg_daily_trips_by_month!$D$1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avg_daily_trips_by_month!$A$2:$A$13</c:f>
            </c:strRef>
          </c:cat>
          <c:val>
            <c:numRef>
              <c:f>avg_daily_trips_by_month!$D$2:$D$13</c:f>
              <c:numCache/>
            </c:numRef>
          </c:val>
        </c:ser>
        <c:axId val="1007312951"/>
        <c:axId val="1900444276"/>
      </c:barChart>
      <c:catAx>
        <c:axId val="1007312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444276"/>
      </c:catAx>
      <c:valAx>
        <c:axId val="19004442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Daily Trips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73129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Casual Trip duration by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avg_trip_duration_by_month!$B$1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avg_trip_duration_by_month!$A$2:$A$13</c:f>
            </c:strRef>
          </c:cat>
          <c:val>
            <c:numRef>
              <c:f>avg_trip_duration_by_month!$B$2:$B$13</c:f>
              <c:numCache/>
            </c:numRef>
          </c:val>
        </c:ser>
        <c:axId val="1792634294"/>
        <c:axId val="1247633800"/>
      </c:barChart>
      <c:catAx>
        <c:axId val="1792634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633800"/>
      </c:catAx>
      <c:valAx>
        <c:axId val="12476338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Trip Duration (in minutes)</a:t>
                </a:r>
              </a:p>
            </c:rich>
          </c:tx>
          <c:layout>
            <c:manualLayout>
              <c:xMode val="edge"/>
              <c:yMode val="edge"/>
              <c:x val="0.03091666666666667"/>
              <c:y val="0.13993710691823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26342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Daily Casual Trips by Weekday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avg_daily_trips_by_weekday!$B$1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avg_daily_trips_by_weekday!$A$2:$A$8</c:f>
            </c:strRef>
          </c:cat>
          <c:val>
            <c:numRef>
              <c:f>avg_daily_trips_by_weekday!$B$2:$B$8</c:f>
              <c:numCache/>
            </c:numRef>
          </c:val>
        </c:ser>
        <c:axId val="410304225"/>
        <c:axId val="663953304"/>
      </c:barChart>
      <c:catAx>
        <c:axId val="410304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 of 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3953304"/>
      </c:catAx>
      <c:valAx>
        <c:axId val="6639533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Trips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3042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Casual Trip Duration by Weekday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avg_trip_duration_by_weekday!$B$1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avg_trip_duration_by_weekday!$A$2:$A$8</c:f>
            </c:strRef>
          </c:cat>
          <c:val>
            <c:numRef>
              <c:f>avg_trip_duration_by_weekday!$B$2:$B$8</c:f>
              <c:numCache/>
            </c:numRef>
          </c:val>
        </c:ser>
        <c:axId val="934941553"/>
        <c:axId val="351414383"/>
      </c:barChart>
      <c:catAx>
        <c:axId val="934941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 of 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1414383"/>
      </c:catAx>
      <c:valAx>
        <c:axId val="3514143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Trip Duration (in minutes)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49415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1</xdr:row>
      <xdr:rowOff>47625</xdr:rowOff>
    </xdr:from>
    <xdr:ext cx="7686675" cy="4752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190500</xdr:colOff>
      <xdr:row>0</xdr:row>
      <xdr:rowOff>238125</xdr:rowOff>
    </xdr:from>
    <xdr:ext cx="4876800" cy="60864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933450</xdr:colOff>
      <xdr:row>1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628650</xdr:colOff>
      <xdr:row>1</xdr:row>
      <xdr:rowOff>9525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838200</xdr:colOff>
      <xdr:row>1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838200</xdr:colOff>
      <xdr:row>1</xdr:row>
      <xdr:rowOff>85725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19.0"/>
  </cols>
  <sheetData>
    <row r="1">
      <c r="A1" s="1" t="s">
        <v>0</v>
      </c>
      <c r="B1" s="1" t="s">
        <v>1</v>
      </c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>
        <v>60367.0</v>
      </c>
    </row>
    <row r="3">
      <c r="A3" s="3" t="s">
        <v>3</v>
      </c>
      <c r="B3" s="3">
        <v>52723.0</v>
      </c>
    </row>
    <row r="4">
      <c r="A4" s="3" t="s">
        <v>4</v>
      </c>
      <c r="B4" s="3">
        <v>51300.0</v>
      </c>
    </row>
    <row r="5">
      <c r="A5" s="3" t="s">
        <v>5</v>
      </c>
      <c r="B5" s="3">
        <v>45053.0</v>
      </c>
    </row>
    <row r="6">
      <c r="A6" s="3" t="s">
        <v>6</v>
      </c>
      <c r="B6" s="3">
        <v>41091.0</v>
      </c>
    </row>
    <row r="7">
      <c r="A7" s="3" t="s">
        <v>7</v>
      </c>
      <c r="B7" s="3">
        <v>39495.0</v>
      </c>
    </row>
    <row r="8">
      <c r="A8" s="3" t="s">
        <v>8</v>
      </c>
      <c r="B8" s="3">
        <v>32784.0</v>
      </c>
    </row>
    <row r="9">
      <c r="A9" s="3" t="s">
        <v>9</v>
      </c>
      <c r="B9" s="3">
        <v>32433.0</v>
      </c>
    </row>
    <row r="10">
      <c r="A10" s="3" t="s">
        <v>10</v>
      </c>
      <c r="B10" s="3">
        <v>29843.0</v>
      </c>
    </row>
    <row r="11">
      <c r="A11" s="3" t="s">
        <v>11</v>
      </c>
      <c r="B11" s="3">
        <v>21044.0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3.0"/>
    <col customWidth="1" min="3" max="3" width="11.75"/>
    <col customWidth="1" min="4" max="4" width="16.0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16</v>
      </c>
      <c r="B2" s="3">
        <v>24124.0</v>
      </c>
      <c r="C2" s="3">
        <v>31.0</v>
      </c>
      <c r="D2" s="4">
        <f t="shared" ref="D2:D13" si="1">ROUND(B2/C2,0)</f>
        <v>778</v>
      </c>
    </row>
    <row r="3">
      <c r="A3" s="3" t="s">
        <v>17</v>
      </c>
      <c r="B3" s="3">
        <v>27757.0</v>
      </c>
      <c r="C3" s="3">
        <v>28.0</v>
      </c>
      <c r="D3" s="4">
        <f t="shared" si="1"/>
        <v>991</v>
      </c>
    </row>
    <row r="4">
      <c r="A4" s="3" t="s">
        <v>18</v>
      </c>
      <c r="B4" s="3">
        <v>85862.0</v>
      </c>
      <c r="C4" s="3">
        <v>31.0</v>
      </c>
      <c r="D4" s="4">
        <f t="shared" si="1"/>
        <v>2770</v>
      </c>
    </row>
    <row r="5">
      <c r="A5" s="3" t="s">
        <v>19</v>
      </c>
      <c r="B5" s="3">
        <v>109239.0</v>
      </c>
      <c r="C5" s="3">
        <v>30.0</v>
      </c>
      <c r="D5" s="4">
        <f t="shared" si="1"/>
        <v>3641</v>
      </c>
    </row>
    <row r="6">
      <c r="A6" s="3" t="s">
        <v>20</v>
      </c>
      <c r="B6" s="3">
        <v>182770.0</v>
      </c>
      <c r="C6" s="3">
        <v>31.0</v>
      </c>
      <c r="D6" s="4">
        <f t="shared" si="1"/>
        <v>5896</v>
      </c>
    </row>
    <row r="7">
      <c r="A7" s="3" t="s">
        <v>21</v>
      </c>
      <c r="B7" s="3">
        <v>292006.0</v>
      </c>
      <c r="C7" s="3">
        <v>30.0</v>
      </c>
      <c r="D7" s="4">
        <f t="shared" si="1"/>
        <v>9734</v>
      </c>
    </row>
    <row r="8">
      <c r="A8" s="3" t="s">
        <v>22</v>
      </c>
      <c r="B8" s="3">
        <v>323352.0</v>
      </c>
      <c r="C8" s="3">
        <v>31.0</v>
      </c>
      <c r="D8" s="4">
        <f t="shared" si="1"/>
        <v>10431</v>
      </c>
    </row>
    <row r="9">
      <c r="A9" s="3" t="s">
        <v>23</v>
      </c>
      <c r="B9" s="3">
        <v>337878.0</v>
      </c>
      <c r="C9" s="3">
        <v>31.0</v>
      </c>
      <c r="D9" s="4">
        <f t="shared" si="1"/>
        <v>10899</v>
      </c>
    </row>
    <row r="10">
      <c r="A10" s="3" t="s">
        <v>24</v>
      </c>
      <c r="B10" s="3">
        <v>265268.0</v>
      </c>
      <c r="C10" s="3">
        <v>30.0</v>
      </c>
      <c r="D10" s="4">
        <f t="shared" si="1"/>
        <v>8842</v>
      </c>
    </row>
    <row r="11">
      <c r="A11" s="3" t="s">
        <v>25</v>
      </c>
      <c r="B11" s="3">
        <v>223998.0</v>
      </c>
      <c r="C11" s="3">
        <v>31.0</v>
      </c>
      <c r="D11" s="4">
        <f t="shared" si="1"/>
        <v>7226</v>
      </c>
    </row>
    <row r="12">
      <c r="A12" s="3" t="s">
        <v>26</v>
      </c>
      <c r="B12" s="3">
        <v>93062.0</v>
      </c>
      <c r="C12" s="3">
        <v>30.0</v>
      </c>
      <c r="D12" s="4">
        <f t="shared" si="1"/>
        <v>3102</v>
      </c>
    </row>
    <row r="13">
      <c r="A13" s="3" t="s">
        <v>27</v>
      </c>
      <c r="B13" s="3">
        <v>38406.0</v>
      </c>
      <c r="C13" s="3">
        <v>31.0</v>
      </c>
      <c r="D13" s="4">
        <f t="shared" si="1"/>
        <v>1239</v>
      </c>
    </row>
    <row r="16">
      <c r="A16" s="5"/>
      <c r="B16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25.0"/>
  </cols>
  <sheetData>
    <row r="1">
      <c r="A1" s="1" t="s">
        <v>28</v>
      </c>
      <c r="B1" s="1" t="s">
        <v>29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16</v>
      </c>
      <c r="B2" s="3">
        <v>14.6</v>
      </c>
    </row>
    <row r="3">
      <c r="A3" s="3" t="s">
        <v>17</v>
      </c>
      <c r="B3" s="3">
        <v>14.64</v>
      </c>
    </row>
    <row r="4">
      <c r="A4" s="3" t="s">
        <v>18</v>
      </c>
      <c r="B4" s="3">
        <v>20.76</v>
      </c>
    </row>
    <row r="5">
      <c r="A5" s="3" t="s">
        <v>19</v>
      </c>
      <c r="B5" s="3">
        <v>21.66</v>
      </c>
    </row>
    <row r="6">
      <c r="A6" s="3" t="s">
        <v>20</v>
      </c>
      <c r="B6" s="3">
        <v>24.18</v>
      </c>
    </row>
    <row r="7">
      <c r="A7" s="3" t="s">
        <v>21</v>
      </c>
      <c r="B7" s="3">
        <v>25.38</v>
      </c>
    </row>
    <row r="8">
      <c r="A8" s="3" t="s">
        <v>22</v>
      </c>
      <c r="B8" s="3">
        <v>24.39</v>
      </c>
    </row>
    <row r="9">
      <c r="A9" s="3" t="s">
        <v>23</v>
      </c>
      <c r="B9" s="3">
        <v>23.6</v>
      </c>
    </row>
    <row r="10">
      <c r="A10" s="3" t="s">
        <v>24</v>
      </c>
      <c r="B10" s="3">
        <v>21.58</v>
      </c>
    </row>
    <row r="11">
      <c r="A11" s="3" t="s">
        <v>25</v>
      </c>
      <c r="B11" s="3">
        <v>20.41</v>
      </c>
    </row>
    <row r="12">
      <c r="A12" s="3" t="s">
        <v>26</v>
      </c>
      <c r="B12" s="3">
        <v>19.41</v>
      </c>
    </row>
    <row r="13">
      <c r="A13" s="3" t="s">
        <v>27</v>
      </c>
      <c r="B13" s="3">
        <v>17.6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5.38"/>
  </cols>
  <sheetData>
    <row r="1">
      <c r="A1" s="1" t="s">
        <v>30</v>
      </c>
      <c r="B1" s="1" t="s">
        <v>31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32</v>
      </c>
      <c r="B2" s="3">
        <v>4481.0</v>
      </c>
    </row>
    <row r="3">
      <c r="A3" s="3" t="s">
        <v>33</v>
      </c>
      <c r="B3" s="3">
        <v>4352.0</v>
      </c>
    </row>
    <row r="4">
      <c r="A4" s="3" t="s">
        <v>34</v>
      </c>
      <c r="B4" s="3">
        <v>4230.0</v>
      </c>
    </row>
    <row r="5">
      <c r="A5" s="3" t="s">
        <v>35</v>
      </c>
      <c r="B5" s="3">
        <v>4916.0</v>
      </c>
    </row>
    <row r="6">
      <c r="A6" s="3" t="s">
        <v>36</v>
      </c>
      <c r="B6" s="3">
        <v>6170.0</v>
      </c>
    </row>
    <row r="7">
      <c r="A7" s="3" t="s">
        <v>37</v>
      </c>
      <c r="B7" s="3">
        <v>7899.0</v>
      </c>
    </row>
    <row r="8">
      <c r="A8" s="3" t="s">
        <v>38</v>
      </c>
      <c r="B8" s="3">
        <v>6483.0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25.0"/>
  </cols>
  <sheetData>
    <row r="1">
      <c r="A1" s="1" t="s">
        <v>30</v>
      </c>
      <c r="B1" s="1" t="s">
        <v>29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32</v>
      </c>
      <c r="B2" s="3">
        <v>22.33</v>
      </c>
    </row>
    <row r="3">
      <c r="A3" s="3" t="s">
        <v>33</v>
      </c>
      <c r="B3" s="3">
        <v>19.83</v>
      </c>
    </row>
    <row r="4">
      <c r="A4" s="3" t="s">
        <v>34</v>
      </c>
      <c r="B4" s="3">
        <v>18.84</v>
      </c>
    </row>
    <row r="5">
      <c r="A5" s="3" t="s">
        <v>35</v>
      </c>
      <c r="B5" s="3">
        <v>20.02</v>
      </c>
    </row>
    <row r="6">
      <c r="A6" s="3" t="s">
        <v>36</v>
      </c>
      <c r="B6" s="3">
        <v>22.41</v>
      </c>
    </row>
    <row r="7">
      <c r="A7" s="3" t="s">
        <v>37</v>
      </c>
      <c r="B7" s="3">
        <v>25.37</v>
      </c>
    </row>
    <row r="8">
      <c r="A8" s="3" t="s">
        <v>38</v>
      </c>
      <c r="B8" s="3">
        <v>26.14</v>
      </c>
    </row>
  </sheetData>
  <drawing r:id="rId1"/>
</worksheet>
</file>